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650" activeTab="2"/>
  </bookViews>
  <sheets>
    <sheet name="Lists" sheetId="1" r:id="rId1"/>
    <sheet name="Package_Costs" sheetId="2" r:id="rId2"/>
    <sheet name="Trip_Planner" sheetId="3" r:id="rId3"/>
  </sheets>
  <definedNames>
    <definedName name="_xlchart.0" hidden="1">Trip_Planner!$D$2:$D$16</definedName>
    <definedName name="_xlchart.1" hidden="1">Trip_Planner!$E$1</definedName>
    <definedName name="_xlchart.2" hidden="1">Trip_Planner!$E$2:$E$16</definedName>
  </definedNames>
  <calcPr calcId="162913"/>
</workbook>
</file>

<file path=xl/calcChain.xml><?xml version="1.0" encoding="utf-8"?>
<calcChain xmlns="http://schemas.openxmlformats.org/spreadsheetml/2006/main">
  <c r="F19" i="2" l="1"/>
  <c r="F17" i="2"/>
  <c r="F18" i="2"/>
  <c r="G2" i="3" l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20" i="2"/>
  <c r="F21" i="2"/>
  <c r="F22" i="2"/>
  <c r="F23" i="2"/>
  <c r="F24" i="2"/>
  <c r="F25" i="2"/>
  <c r="F2" i="2"/>
  <c r="F50" i="3"/>
  <c r="G50" i="3" s="1"/>
  <c r="F49" i="3"/>
  <c r="G49" i="3" s="1"/>
  <c r="F48" i="3"/>
  <c r="G48" i="3" s="1"/>
  <c r="F47" i="3"/>
  <c r="G47" i="3" s="1"/>
  <c r="F46" i="3"/>
  <c r="G46" i="3" s="1"/>
  <c r="F45" i="3"/>
  <c r="G45" i="3" s="1"/>
  <c r="F44" i="3"/>
  <c r="G44" i="3" s="1"/>
  <c r="F43" i="3"/>
  <c r="G43" i="3" s="1"/>
  <c r="F42" i="3"/>
  <c r="G42" i="3" s="1"/>
  <c r="F41" i="3"/>
  <c r="G41" i="3" s="1"/>
  <c r="F40" i="3"/>
  <c r="G40" i="3" s="1"/>
  <c r="F39" i="3"/>
  <c r="G39" i="3" s="1"/>
  <c r="F38" i="3"/>
  <c r="G38" i="3" s="1"/>
  <c r="F37" i="3"/>
  <c r="G37" i="3" s="1"/>
  <c r="F36" i="3"/>
  <c r="G36" i="3" s="1"/>
  <c r="F35" i="3"/>
  <c r="G35" i="3" s="1"/>
  <c r="F34" i="3"/>
  <c r="G34" i="3" s="1"/>
  <c r="F33" i="3"/>
  <c r="G33" i="3" s="1"/>
  <c r="F32" i="3"/>
  <c r="G32" i="3" s="1"/>
  <c r="F31" i="3"/>
  <c r="G31" i="3" s="1"/>
  <c r="F30" i="3"/>
  <c r="G30" i="3" s="1"/>
  <c r="F29" i="3"/>
  <c r="G29" i="3" s="1"/>
  <c r="F28" i="3"/>
  <c r="G28" i="3" s="1"/>
  <c r="F27" i="3"/>
  <c r="G27" i="3" s="1"/>
  <c r="F26" i="3"/>
  <c r="G26" i="3" s="1"/>
  <c r="F25" i="3"/>
  <c r="G25" i="3" s="1"/>
  <c r="F24" i="3"/>
  <c r="G24" i="3" s="1"/>
  <c r="F23" i="3"/>
  <c r="G23" i="3" s="1"/>
  <c r="F22" i="3"/>
  <c r="G22" i="3" s="1"/>
  <c r="F21" i="3"/>
  <c r="G21" i="3" s="1"/>
  <c r="F20" i="3"/>
  <c r="G20" i="3" s="1"/>
  <c r="F19" i="3"/>
  <c r="G19" i="3" s="1"/>
  <c r="F18" i="3"/>
  <c r="G18" i="3" s="1"/>
  <c r="E17" i="3"/>
</calcChain>
</file>

<file path=xl/sharedStrings.xml><?xml version="1.0" encoding="utf-8"?>
<sst xmlns="http://schemas.openxmlformats.org/spreadsheetml/2006/main" count="166" uniqueCount="50">
  <si>
    <t>Destinations</t>
  </si>
  <si>
    <t>Turkey</t>
  </si>
  <si>
    <t>Package Types</t>
  </si>
  <si>
    <t>Destination</t>
  </si>
  <si>
    <t>Package Type</t>
  </si>
  <si>
    <t>Customer Name</t>
  </si>
  <si>
    <t>No. of Persons</t>
  </si>
  <si>
    <t>Ali Khan</t>
  </si>
  <si>
    <t>Sara Ahmed</t>
  </si>
  <si>
    <t>Usman Raza</t>
  </si>
  <si>
    <t>Ayesha Noor</t>
  </si>
  <si>
    <t>Bilal Hussain</t>
  </si>
  <si>
    <t>Fahad Iqbal</t>
  </si>
  <si>
    <t>Zainab Sheikh</t>
  </si>
  <si>
    <t>Hamza Ali</t>
  </si>
  <si>
    <t>Nida Fatima</t>
  </si>
  <si>
    <t>New Zealand</t>
  </si>
  <si>
    <t>Greece</t>
  </si>
  <si>
    <t>Pakistan</t>
  </si>
  <si>
    <t>Japan</t>
  </si>
  <si>
    <t>Switzerland</t>
  </si>
  <si>
    <t>Indonesia</t>
  </si>
  <si>
    <t>Classic</t>
  </si>
  <si>
    <t>Explorer</t>
  </si>
  <si>
    <t>Premium</t>
  </si>
  <si>
    <t>Muhammad Ali</t>
  </si>
  <si>
    <t>Muhammad Uzair</t>
  </si>
  <si>
    <t>Muhammad Ammar</t>
  </si>
  <si>
    <t>Sultan salahudin</t>
  </si>
  <si>
    <t>Anas shafi</t>
  </si>
  <si>
    <t>MAX days</t>
  </si>
  <si>
    <t>MIN days</t>
  </si>
  <si>
    <t>Packages price(PKR)</t>
  </si>
  <si>
    <t>Destitation Expense(PKR)</t>
  </si>
  <si>
    <t>Cost per Person Per Day(PKR)</t>
  </si>
  <si>
    <t>Istanbul</t>
  </si>
  <si>
    <t>Bali</t>
  </si>
  <si>
    <t>Hunza</t>
  </si>
  <si>
    <t>Swiss Alps</t>
  </si>
  <si>
    <t>Kaghan Valley</t>
  </si>
  <si>
    <t>Kyoto &amp; Tokyo</t>
  </si>
  <si>
    <t>South Island</t>
  </si>
  <si>
    <t>Santorini</t>
  </si>
  <si>
    <t>South Isalnd</t>
  </si>
  <si>
    <t>Satorini</t>
  </si>
  <si>
    <t>Koyto &amp;Toykyo</t>
  </si>
  <si>
    <t>Koyto &amp; Tokyo</t>
  </si>
  <si>
    <t>Cost per Person (Per Day)(PKR)</t>
  </si>
  <si>
    <t>Total Cost(PKR)</t>
  </si>
  <si>
    <t>Muhammad Sheharyar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</si>
</sst>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7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0" fillId="0" borderId="1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3" fontId="0" fillId="0" borderId="5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0" fillId="0" borderId="3" xfId="0" applyNumberFormat="1" applyFont="1" applyBorder="1" applyAlignment="1">
      <alignment horizontal="center"/>
    </xf>
    <xf numFmtId="3" fontId="0" fillId="0" borderId="6" xfId="0" applyNumberFormat="1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</cellXfs>
  <cellStyles count="1"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Lists!$D$1</c:f>
              <c:strCache>
                <c:ptCount val="1"/>
                <c:pt idx="0">
                  <c:v>MIN days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Lists!$C$2:$C$4</c:f>
              <c:strCache>
                <c:ptCount val="3"/>
                <c:pt idx="0">
                  <c:v>Classic</c:v>
                </c:pt>
                <c:pt idx="1">
                  <c:v>Explorer</c:v>
                </c:pt>
                <c:pt idx="2">
                  <c:v>Premium</c:v>
                </c:pt>
              </c:strCache>
            </c:strRef>
          </c:cat>
          <c:val>
            <c:numRef>
              <c:f>Lists!$D$2:$D$4</c:f>
              <c:numCache>
                <c:formatCode>General</c:formatCode>
                <c:ptCount val="3"/>
                <c:pt idx="0">
                  <c:v>4</c:v>
                </c:pt>
                <c:pt idx="1">
                  <c:v>7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0B-41DA-BBBF-FF4269B3114E}"/>
            </c:ext>
          </c:extLst>
        </c:ser>
        <c:ser>
          <c:idx val="1"/>
          <c:order val="1"/>
          <c:tx>
            <c:strRef>
              <c:f>Lists!$E$1</c:f>
              <c:strCache>
                <c:ptCount val="1"/>
                <c:pt idx="0">
                  <c:v>MAX days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Lists!$C$2:$C$4</c:f>
              <c:strCache>
                <c:ptCount val="3"/>
                <c:pt idx="0">
                  <c:v>Classic</c:v>
                </c:pt>
                <c:pt idx="1">
                  <c:v>Explorer</c:v>
                </c:pt>
                <c:pt idx="2">
                  <c:v>Premium</c:v>
                </c:pt>
              </c:strCache>
            </c:strRef>
          </c:cat>
          <c:val>
            <c:numRef>
              <c:f>Lists!$E$2:$E$4</c:f>
              <c:numCache>
                <c:formatCode>General</c:formatCode>
                <c:ptCount val="3"/>
                <c:pt idx="0">
                  <c:v>6</c:v>
                </c:pt>
                <c:pt idx="1">
                  <c:v>10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0B-41DA-BBBF-FF4269B31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86021968"/>
        <c:axId val="386026560"/>
      </c:barChart>
      <c:catAx>
        <c:axId val="38602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026560"/>
        <c:crosses val="autoZero"/>
        <c:auto val="1"/>
        <c:lblAlgn val="ctr"/>
        <c:lblOffset val="100"/>
        <c:noMultiLvlLbl val="0"/>
      </c:catAx>
      <c:valAx>
        <c:axId val="38602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021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Sum of Cost per Person Per Day(PKR) by Destination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Lit>
              <c:ptCount val="7"/>
              <c:pt idx="0">
                <c:v>Greece</c:v>
              </c:pt>
              <c:pt idx="1">
                <c:v>Indonesia</c:v>
              </c:pt>
              <c:pt idx="2">
                <c:v>Japan</c:v>
              </c:pt>
              <c:pt idx="3">
                <c:v>New Zealand</c:v>
              </c:pt>
              <c:pt idx="4">
                <c:v>Pakistan</c:v>
              </c:pt>
              <c:pt idx="5">
                <c:v>Switzerland</c:v>
              </c:pt>
              <c:pt idx="6">
                <c:v>Turkey</c:v>
              </c:pt>
            </c:strLit>
          </c:cat>
          <c:val>
            <c:numLit>
              <c:formatCode>General</c:formatCode>
              <c:ptCount val="7"/>
              <c:pt idx="0">
                <c:v>129994</c:v>
              </c:pt>
              <c:pt idx="1">
                <c:v>120994</c:v>
              </c:pt>
              <c:pt idx="2">
                <c:v>147994</c:v>
              </c:pt>
              <c:pt idx="3">
                <c:v>162994</c:v>
              </c:pt>
              <c:pt idx="4">
                <c:v>205988</c:v>
              </c:pt>
              <c:pt idx="5">
                <c:v>138994</c:v>
              </c:pt>
              <c:pt idx="6">
                <c:v>102994</c:v>
              </c:pt>
            </c:numLit>
          </c:val>
          <c:extLst>
            <c:ext xmlns:c16="http://schemas.microsoft.com/office/drawing/2014/chart" uri="{C3380CC4-5D6E-409C-BE32-E72D297353CC}">
              <c16:uniqueId val="{00000000-4AE5-4AC7-B861-8E8D1AEFA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10437064"/>
        <c:axId val="410437392"/>
      </c:barChart>
      <c:catAx>
        <c:axId val="410437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437392"/>
        <c:crosses val="autoZero"/>
        <c:auto val="1"/>
        <c:lblAlgn val="ctr"/>
        <c:lblOffset val="100"/>
        <c:noMultiLvlLbl val="0"/>
      </c:catAx>
      <c:valAx>
        <c:axId val="41043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437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Sum of Total Cost by Destination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</c:pivotFmts>
    <c:plotArea>
      <c:layout>
        <c:manualLayout>
          <c:layoutTarget val="inner"/>
          <c:xMode val="edge"/>
          <c:yMode val="edge"/>
          <c:x val="0.10335870516185477"/>
          <c:y val="0.28643299795858851"/>
          <c:w val="0.85219685039370074"/>
          <c:h val="0.57845909886264213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Lit>
              <c:ptCount val="7"/>
              <c:pt idx="0">
                <c:v>Greece</c:v>
              </c:pt>
              <c:pt idx="1">
                <c:v>Indonesia</c:v>
              </c:pt>
              <c:pt idx="2">
                <c:v>Japan</c:v>
              </c:pt>
              <c:pt idx="3">
                <c:v>New Zealand</c:v>
              </c:pt>
              <c:pt idx="4">
                <c:v>Pakistan</c:v>
              </c:pt>
              <c:pt idx="5">
                <c:v>Switzerland</c:v>
              </c:pt>
              <c:pt idx="6">
                <c:v>Turkey</c:v>
              </c:pt>
            </c:strLit>
          </c:cat>
          <c:val>
            <c:numLit>
              <c:formatCode>General</c:formatCode>
              <c:ptCount val="7"/>
              <c:pt idx="0">
                <c:v>366986</c:v>
              </c:pt>
              <c:pt idx="1">
                <c:v>288986</c:v>
              </c:pt>
              <c:pt idx="2">
                <c:v>217988</c:v>
              </c:pt>
              <c:pt idx="3">
                <c:v>474980</c:v>
              </c:pt>
              <c:pt idx="4">
                <c:v>191990</c:v>
              </c:pt>
              <c:pt idx="5">
                <c:v>154994</c:v>
              </c:pt>
              <c:pt idx="6">
                <c:v>141990</c:v>
              </c:pt>
            </c:numLit>
          </c:val>
          <c:extLst>
            <c:ext xmlns:c16="http://schemas.microsoft.com/office/drawing/2014/chart" uri="{C3380CC4-5D6E-409C-BE32-E72D297353CC}">
              <c16:uniqueId val="{00000000-90ED-4CDA-B2FA-86D219B9B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97307824"/>
        <c:axId val="397311432"/>
      </c:barChart>
      <c:catAx>
        <c:axId val="39730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311432"/>
        <c:crosses val="autoZero"/>
        <c:auto val="1"/>
        <c:lblAlgn val="ctr"/>
        <c:lblOffset val="100"/>
        <c:noMultiLvlLbl val="0"/>
      </c:catAx>
      <c:valAx>
        <c:axId val="397311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30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_xlchart.0</cx:f>
      </cx:strDim>
      <cx:numDim type="val">
        <cx:f>_xlchart.2</cx:f>
      </cx:numDim>
    </cx:data>
  </cx:chartData>
  <cx:chart>
    <cx:title pos="t" align="ctr" overlay="0"/>
    <cx:plotArea>
      <cx:plotAreaRegion>
        <cx:series layoutId="clusteredColumn" uniqueId="{DAD1DF34-1017-4735-8389-DF883EBC8279}">
          <cx:tx>
            <cx:txData>
              <cx:f>_xlchart.1</cx:f>
              <cx:v>No. of Persons</cx:v>
            </cx:txData>
          </cx:tx>
          <cx:dataId val="0"/>
          <cx:layoutPr>
            <cx:aggregation/>
          </cx:layoutPr>
          <cx:axisId val="1"/>
        </cx:series>
        <cx:series layoutId="paretoLine" ownerIdx="0" uniqueId="{D8B6EC1F-57E6-4FAD-93F4-64164D0BA473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85000"/>
      </a:schemeClr>
    </cs:fontRef>
    <cs:defRPr sz="9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lt1"/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 w="9525">
        <a:solidFill>
          <a:schemeClr val="tx1"/>
        </a:solidFill>
      </a:ln>
      <a:effectLst>
        <a:outerShdw blurRad="57150" dist="19050" dir="5400000" algn="ctr" rotWithShape="0">
          <a:srgbClr val="000000">
            <a:alpha val="63000"/>
          </a:srgb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lt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lt1"/>
    </cs:fontRef>
  </cs:dropLine>
  <cs:errorBar>
    <cs:lnRef idx="0"/>
    <cs:fillRef idx="0"/>
    <cs:effectRef idx="0"/>
    <cs:fontRef idx="minor">
      <a:schemeClr val="lt1"/>
    </cs:fontRef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</cs:hiLoLine>
  <cs:leaderLine>
    <cs:lnRef idx="0"/>
    <cs:fillRef idx="0"/>
    <cs:effectRef idx="0"/>
    <cs:fontRef idx="minor">
      <a:schemeClr val="lt1"/>
    </cs:fontRef>
  </cs:leaderLine>
  <cs:legend>
    <cs:lnRef idx="0"/>
    <cs:fillRef idx="0"/>
    <cs:effectRef idx="0"/>
    <cs:fontRef idx="minor">
      <a:schemeClr val="lt1">
        <a:lumMod val="8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0</xdr:row>
      <xdr:rowOff>9525</xdr:rowOff>
    </xdr:from>
    <xdr:to>
      <xdr:col>12</xdr:col>
      <xdr:colOff>314325</xdr:colOff>
      <xdr:row>14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0</xdr:row>
      <xdr:rowOff>0</xdr:rowOff>
    </xdr:from>
    <xdr:to>
      <xdr:col>13</xdr:col>
      <xdr:colOff>323850</xdr:colOff>
      <xdr:row>14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0</xdr:row>
      <xdr:rowOff>0</xdr:rowOff>
    </xdr:from>
    <xdr:to>
      <xdr:col>15</xdr:col>
      <xdr:colOff>28575</xdr:colOff>
      <xdr:row>14</xdr:row>
      <xdr:rowOff>76200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14</xdr:row>
      <xdr:rowOff>76200</xdr:rowOff>
    </xdr:from>
    <xdr:to>
      <xdr:col>15</xdr:col>
      <xdr:colOff>19050</xdr:colOff>
      <xdr:row>28</xdr:row>
      <xdr:rowOff>152400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9" name="Chart 8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id="5" name="Table5" displayName="Table5" ref="C1:E4" totalsRowShown="0" headerRowDxfId="4" dataDxfId="3">
  <autoFilter ref="C1:E4">
    <filterColumn colId="0" hiddenButton="1"/>
    <filterColumn colId="1" hiddenButton="1"/>
    <filterColumn colId="2" hiddenButton="1"/>
  </autoFilter>
  <tableColumns count="3">
    <tableColumn id="1" name="Package Types" dataDxfId="2"/>
    <tableColumn id="2" name="MIN days" dataDxfId="1"/>
    <tableColumn id="3" name="MAX day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D6" sqref="D6"/>
    </sheetView>
  </sheetViews>
  <sheetFormatPr defaultRowHeight="15" x14ac:dyDescent="0.25"/>
  <cols>
    <col min="1" max="1" width="16.42578125" customWidth="1"/>
    <col min="2" max="2" width="19.42578125" customWidth="1"/>
    <col min="3" max="3" width="18.7109375" customWidth="1"/>
    <col min="4" max="4" width="18.5703125" customWidth="1"/>
    <col min="5" max="5" width="14" customWidth="1"/>
  </cols>
  <sheetData>
    <row r="1" spans="1:8" x14ac:dyDescent="0.25">
      <c r="A1" s="23" t="s">
        <v>0</v>
      </c>
      <c r="B1" s="25"/>
      <c r="C1" s="1" t="s">
        <v>2</v>
      </c>
      <c r="D1" s="1" t="s">
        <v>31</v>
      </c>
      <c r="E1" s="1" t="s">
        <v>30</v>
      </c>
    </row>
    <row r="2" spans="1:8" x14ac:dyDescent="0.25">
      <c r="A2" s="9" t="s">
        <v>1</v>
      </c>
      <c r="B2" s="10" t="s">
        <v>35</v>
      </c>
      <c r="C2" s="1" t="s">
        <v>22</v>
      </c>
      <c r="D2" s="1">
        <v>4</v>
      </c>
      <c r="E2" s="1">
        <v>6</v>
      </c>
    </row>
    <row r="3" spans="1:8" x14ac:dyDescent="0.25">
      <c r="A3" s="9" t="s">
        <v>21</v>
      </c>
      <c r="B3" s="10" t="s">
        <v>36</v>
      </c>
      <c r="C3" s="1" t="s">
        <v>23</v>
      </c>
      <c r="D3" s="1">
        <v>7</v>
      </c>
      <c r="E3" s="1">
        <v>10</v>
      </c>
      <c r="H3" s="4"/>
    </row>
    <row r="4" spans="1:8" x14ac:dyDescent="0.25">
      <c r="A4" s="9" t="s">
        <v>18</v>
      </c>
      <c r="B4" s="10" t="s">
        <v>37</v>
      </c>
      <c r="C4" s="1" t="s">
        <v>24</v>
      </c>
      <c r="D4" s="1">
        <v>10</v>
      </c>
      <c r="E4" s="1">
        <v>14</v>
      </c>
      <c r="H4" s="4"/>
    </row>
    <row r="5" spans="1:8" x14ac:dyDescent="0.25">
      <c r="A5" s="9" t="s">
        <v>20</v>
      </c>
      <c r="B5" s="10" t="s">
        <v>38</v>
      </c>
      <c r="H5" s="4"/>
    </row>
    <row r="6" spans="1:8" x14ac:dyDescent="0.25">
      <c r="A6" s="9" t="s">
        <v>19</v>
      </c>
      <c r="B6" s="10" t="s">
        <v>45</v>
      </c>
    </row>
    <row r="7" spans="1:8" x14ac:dyDescent="0.25">
      <c r="A7" s="9" t="s">
        <v>18</v>
      </c>
      <c r="B7" s="10" t="s">
        <v>39</v>
      </c>
    </row>
    <row r="8" spans="1:8" x14ac:dyDescent="0.25">
      <c r="A8" s="9" t="s">
        <v>16</v>
      </c>
      <c r="B8" s="10" t="s">
        <v>43</v>
      </c>
      <c r="G8" s="2"/>
    </row>
    <row r="9" spans="1:8" x14ac:dyDescent="0.25">
      <c r="A9" s="11" t="s">
        <v>17</v>
      </c>
      <c r="B9" s="13" t="s">
        <v>44</v>
      </c>
    </row>
  </sheetData>
  <mergeCells count="1">
    <mergeCell ref="A1:B1"/>
  </mergeCells>
  <pageMargins left="0.75" right="0.75" top="1" bottom="1" header="0.5" footer="0.5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C3" sqref="C3"/>
    </sheetView>
  </sheetViews>
  <sheetFormatPr defaultRowHeight="15" x14ac:dyDescent="0.25"/>
  <cols>
    <col min="1" max="1" width="13.42578125" customWidth="1"/>
    <col min="2" max="2" width="21.7109375" customWidth="1"/>
    <col min="3" max="3" width="21.42578125" customWidth="1"/>
    <col min="4" max="4" width="26.140625" customWidth="1"/>
    <col min="5" max="5" width="30.5703125" customWidth="1"/>
    <col min="6" max="6" width="29" customWidth="1"/>
  </cols>
  <sheetData>
    <row r="1" spans="1:6" x14ac:dyDescent="0.25">
      <c r="A1" s="23" t="s">
        <v>3</v>
      </c>
      <c r="B1" s="24"/>
      <c r="C1" s="8" t="s">
        <v>4</v>
      </c>
      <c r="D1" s="8" t="s">
        <v>32</v>
      </c>
      <c r="E1" s="8" t="s">
        <v>33</v>
      </c>
      <c r="F1" s="7" t="s">
        <v>34</v>
      </c>
    </row>
    <row r="2" spans="1:6" x14ac:dyDescent="0.25">
      <c r="A2" s="9" t="s">
        <v>1</v>
      </c>
      <c r="B2" s="5" t="s">
        <v>35</v>
      </c>
      <c r="C2" s="5" t="s">
        <v>23</v>
      </c>
      <c r="D2" s="20">
        <v>9999</v>
      </c>
      <c r="E2" s="16">
        <v>12999</v>
      </c>
      <c r="F2" s="21">
        <f t="shared" ref="F2:F25" si="0">(D2+E2)</f>
        <v>22998</v>
      </c>
    </row>
    <row r="3" spans="1:6" x14ac:dyDescent="0.25">
      <c r="A3" s="9" t="s">
        <v>1</v>
      </c>
      <c r="B3" s="5" t="s">
        <v>35</v>
      </c>
      <c r="C3" s="5" t="s">
        <v>22</v>
      </c>
      <c r="D3" s="20">
        <v>18999</v>
      </c>
      <c r="E3" s="16">
        <v>12999</v>
      </c>
      <c r="F3" s="21">
        <f t="shared" si="0"/>
        <v>31998</v>
      </c>
    </row>
    <row r="4" spans="1:6" x14ac:dyDescent="0.25">
      <c r="A4" s="9" t="s">
        <v>1</v>
      </c>
      <c r="B4" s="5" t="s">
        <v>35</v>
      </c>
      <c r="C4" s="5" t="s">
        <v>24</v>
      </c>
      <c r="D4" s="16">
        <v>34999</v>
      </c>
      <c r="E4" s="16">
        <v>12999</v>
      </c>
      <c r="F4" s="21">
        <f t="shared" si="0"/>
        <v>47998</v>
      </c>
    </row>
    <row r="5" spans="1:6" x14ac:dyDescent="0.25">
      <c r="A5" s="9" t="s">
        <v>21</v>
      </c>
      <c r="B5" s="5" t="s">
        <v>36</v>
      </c>
      <c r="C5" s="5" t="s">
        <v>23</v>
      </c>
      <c r="D5" s="20">
        <v>9999</v>
      </c>
      <c r="E5" s="16">
        <v>18999</v>
      </c>
      <c r="F5" s="21">
        <f t="shared" si="0"/>
        <v>28998</v>
      </c>
    </row>
    <row r="6" spans="1:6" x14ac:dyDescent="0.25">
      <c r="A6" s="9" t="s">
        <v>21</v>
      </c>
      <c r="B6" s="5" t="s">
        <v>36</v>
      </c>
      <c r="C6" s="5" t="s">
        <v>22</v>
      </c>
      <c r="D6" s="20">
        <v>18999</v>
      </c>
      <c r="E6" s="16">
        <v>18999</v>
      </c>
      <c r="F6" s="21">
        <f t="shared" si="0"/>
        <v>37998</v>
      </c>
    </row>
    <row r="7" spans="1:6" x14ac:dyDescent="0.25">
      <c r="A7" s="9" t="s">
        <v>21</v>
      </c>
      <c r="B7" s="5" t="s">
        <v>36</v>
      </c>
      <c r="C7" s="5" t="s">
        <v>24</v>
      </c>
      <c r="D7" s="16">
        <v>34999</v>
      </c>
      <c r="E7" s="16">
        <v>18999</v>
      </c>
      <c r="F7" s="21">
        <f t="shared" si="0"/>
        <v>53998</v>
      </c>
    </row>
    <row r="8" spans="1:6" x14ac:dyDescent="0.25">
      <c r="A8" s="9" t="s">
        <v>18</v>
      </c>
      <c r="B8" s="5" t="s">
        <v>37</v>
      </c>
      <c r="C8" s="5" t="s">
        <v>23</v>
      </c>
      <c r="D8" s="20">
        <v>9999</v>
      </c>
      <c r="E8" s="16">
        <v>12999</v>
      </c>
      <c r="F8" s="21">
        <f t="shared" si="0"/>
        <v>22998</v>
      </c>
    </row>
    <row r="9" spans="1:6" x14ac:dyDescent="0.25">
      <c r="A9" s="9" t="s">
        <v>18</v>
      </c>
      <c r="B9" s="5" t="s">
        <v>37</v>
      </c>
      <c r="C9" s="5" t="s">
        <v>22</v>
      </c>
      <c r="D9" s="20">
        <v>18999</v>
      </c>
      <c r="E9" s="16">
        <v>12999</v>
      </c>
      <c r="F9" s="21">
        <f t="shared" si="0"/>
        <v>31998</v>
      </c>
    </row>
    <row r="10" spans="1:6" x14ac:dyDescent="0.25">
      <c r="A10" s="9" t="s">
        <v>18</v>
      </c>
      <c r="B10" s="5" t="s">
        <v>37</v>
      </c>
      <c r="C10" s="5" t="s">
        <v>24</v>
      </c>
      <c r="D10" s="16">
        <v>34999</v>
      </c>
      <c r="E10" s="16">
        <v>12999</v>
      </c>
      <c r="F10" s="21">
        <f t="shared" si="0"/>
        <v>47998</v>
      </c>
    </row>
    <row r="11" spans="1:6" x14ac:dyDescent="0.25">
      <c r="A11" s="9" t="s">
        <v>20</v>
      </c>
      <c r="B11" s="5" t="s">
        <v>38</v>
      </c>
      <c r="C11" s="5" t="s">
        <v>23</v>
      </c>
      <c r="D11" s="20">
        <v>9999</v>
      </c>
      <c r="E11" s="16">
        <v>24999</v>
      </c>
      <c r="F11" s="21">
        <f t="shared" si="0"/>
        <v>34998</v>
      </c>
    </row>
    <row r="12" spans="1:6" x14ac:dyDescent="0.25">
      <c r="A12" s="9" t="s">
        <v>20</v>
      </c>
      <c r="B12" s="5" t="s">
        <v>38</v>
      </c>
      <c r="C12" s="5" t="s">
        <v>22</v>
      </c>
      <c r="D12" s="20">
        <v>18999</v>
      </c>
      <c r="E12" s="16">
        <v>24999</v>
      </c>
      <c r="F12" s="21">
        <f t="shared" si="0"/>
        <v>43998</v>
      </c>
    </row>
    <row r="13" spans="1:6" x14ac:dyDescent="0.25">
      <c r="A13" s="9" t="s">
        <v>20</v>
      </c>
      <c r="B13" s="5" t="s">
        <v>38</v>
      </c>
      <c r="C13" s="5" t="s">
        <v>24</v>
      </c>
      <c r="D13" s="16">
        <v>34999</v>
      </c>
      <c r="E13" s="16">
        <v>24999</v>
      </c>
      <c r="F13" s="21">
        <f t="shared" si="0"/>
        <v>59998</v>
      </c>
    </row>
    <row r="14" spans="1:6" x14ac:dyDescent="0.25">
      <c r="A14" s="9" t="s">
        <v>19</v>
      </c>
      <c r="B14" s="5" t="s">
        <v>40</v>
      </c>
      <c r="C14" s="5" t="s">
        <v>23</v>
      </c>
      <c r="D14" s="20">
        <v>9999</v>
      </c>
      <c r="E14" s="16">
        <v>27999</v>
      </c>
      <c r="F14" s="21">
        <f t="shared" si="0"/>
        <v>37998</v>
      </c>
    </row>
    <row r="15" spans="1:6" x14ac:dyDescent="0.25">
      <c r="A15" s="9" t="s">
        <v>19</v>
      </c>
      <c r="B15" s="5" t="s">
        <v>40</v>
      </c>
      <c r="C15" s="5" t="s">
        <v>22</v>
      </c>
      <c r="D15" s="20">
        <v>18999</v>
      </c>
      <c r="E15" s="16">
        <v>27999</v>
      </c>
      <c r="F15" s="21">
        <f t="shared" si="0"/>
        <v>46998</v>
      </c>
    </row>
    <row r="16" spans="1:6" x14ac:dyDescent="0.25">
      <c r="A16" s="9" t="s">
        <v>19</v>
      </c>
      <c r="B16" s="5" t="s">
        <v>40</v>
      </c>
      <c r="C16" s="5" t="s">
        <v>24</v>
      </c>
      <c r="D16" s="16">
        <v>34999</v>
      </c>
      <c r="E16" s="16">
        <v>27999</v>
      </c>
      <c r="F16" s="21">
        <f t="shared" si="0"/>
        <v>62998</v>
      </c>
    </row>
    <row r="17" spans="1:6" x14ac:dyDescent="0.25">
      <c r="A17" s="9" t="s">
        <v>18</v>
      </c>
      <c r="B17" s="5" t="s">
        <v>39</v>
      </c>
      <c r="C17" s="5" t="s">
        <v>23</v>
      </c>
      <c r="D17" s="20">
        <v>9999</v>
      </c>
      <c r="E17" s="16">
        <v>12999</v>
      </c>
      <c r="F17" s="21">
        <f t="shared" si="0"/>
        <v>22998</v>
      </c>
    </row>
    <row r="18" spans="1:6" x14ac:dyDescent="0.25">
      <c r="A18" s="9" t="s">
        <v>18</v>
      </c>
      <c r="B18" s="5" t="s">
        <v>39</v>
      </c>
      <c r="C18" s="5" t="s">
        <v>22</v>
      </c>
      <c r="D18" s="20">
        <v>18999</v>
      </c>
      <c r="E18" s="16">
        <v>12999</v>
      </c>
      <c r="F18" s="21">
        <f t="shared" si="0"/>
        <v>31998</v>
      </c>
    </row>
    <row r="19" spans="1:6" x14ac:dyDescent="0.25">
      <c r="A19" s="9" t="s">
        <v>18</v>
      </c>
      <c r="B19" s="5" t="s">
        <v>39</v>
      </c>
      <c r="C19" s="5" t="s">
        <v>24</v>
      </c>
      <c r="D19" s="16">
        <v>34999</v>
      </c>
      <c r="E19" s="16">
        <v>12999</v>
      </c>
      <c r="F19" s="21">
        <f t="shared" si="0"/>
        <v>47998</v>
      </c>
    </row>
    <row r="20" spans="1:6" x14ac:dyDescent="0.25">
      <c r="A20" s="9" t="s">
        <v>16</v>
      </c>
      <c r="B20" s="5" t="s">
        <v>41</v>
      </c>
      <c r="C20" s="5" t="s">
        <v>23</v>
      </c>
      <c r="D20" s="20">
        <v>9999</v>
      </c>
      <c r="E20" s="16">
        <v>32999</v>
      </c>
      <c r="F20" s="21">
        <f t="shared" si="0"/>
        <v>42998</v>
      </c>
    </row>
    <row r="21" spans="1:6" x14ac:dyDescent="0.25">
      <c r="A21" s="9" t="s">
        <v>16</v>
      </c>
      <c r="B21" s="5" t="s">
        <v>41</v>
      </c>
      <c r="C21" s="5" t="s">
        <v>22</v>
      </c>
      <c r="D21" s="20">
        <v>18999</v>
      </c>
      <c r="E21" s="16">
        <v>32999</v>
      </c>
      <c r="F21" s="21">
        <f t="shared" si="0"/>
        <v>51998</v>
      </c>
    </row>
    <row r="22" spans="1:6" x14ac:dyDescent="0.25">
      <c r="A22" s="9" t="s">
        <v>16</v>
      </c>
      <c r="B22" s="5" t="s">
        <v>41</v>
      </c>
      <c r="C22" s="5" t="s">
        <v>24</v>
      </c>
      <c r="D22" s="16">
        <v>34999</v>
      </c>
      <c r="E22" s="16">
        <v>32999</v>
      </c>
      <c r="F22" s="21">
        <f t="shared" si="0"/>
        <v>67998</v>
      </c>
    </row>
    <row r="23" spans="1:6" x14ac:dyDescent="0.25">
      <c r="A23" s="9" t="s">
        <v>17</v>
      </c>
      <c r="B23" s="5" t="s">
        <v>42</v>
      </c>
      <c r="C23" s="5" t="s">
        <v>23</v>
      </c>
      <c r="D23" s="20">
        <v>9999</v>
      </c>
      <c r="E23" s="16">
        <v>21999</v>
      </c>
      <c r="F23" s="21">
        <f t="shared" si="0"/>
        <v>31998</v>
      </c>
    </row>
    <row r="24" spans="1:6" x14ac:dyDescent="0.25">
      <c r="A24" s="9" t="s">
        <v>17</v>
      </c>
      <c r="B24" s="5" t="s">
        <v>42</v>
      </c>
      <c r="C24" s="5" t="s">
        <v>22</v>
      </c>
      <c r="D24" s="20">
        <v>18999</v>
      </c>
      <c r="E24" s="16">
        <v>21999</v>
      </c>
      <c r="F24" s="21">
        <f t="shared" si="0"/>
        <v>40998</v>
      </c>
    </row>
    <row r="25" spans="1:6" x14ac:dyDescent="0.25">
      <c r="A25" s="11" t="s">
        <v>17</v>
      </c>
      <c r="B25" s="12" t="s">
        <v>42</v>
      </c>
      <c r="C25" s="12" t="s">
        <v>24</v>
      </c>
      <c r="D25" s="19">
        <v>34999</v>
      </c>
      <c r="E25" s="19">
        <v>21999</v>
      </c>
      <c r="F25" s="22">
        <f t="shared" si="0"/>
        <v>56998</v>
      </c>
    </row>
    <row r="26" spans="1:6" x14ac:dyDescent="0.25">
      <c r="B26" s="1"/>
    </row>
    <row r="27" spans="1:6" x14ac:dyDescent="0.25">
      <c r="B27" s="1"/>
    </row>
    <row r="28" spans="1:6" x14ac:dyDescent="0.25">
      <c r="B28" s="1"/>
    </row>
  </sheetData>
  <mergeCells count="1">
    <mergeCell ref="A1:B1"/>
  </mergeCells>
  <pageMargins left="0.75" right="0.75" top="1" bottom="1" header="0.5" footer="0.5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tabSelected="1" workbookViewId="0">
      <selection activeCell="B12" sqref="B12"/>
    </sheetView>
  </sheetViews>
  <sheetFormatPr defaultRowHeight="15" x14ac:dyDescent="0.25"/>
  <cols>
    <col min="1" max="1" width="22.140625" customWidth="1"/>
    <col min="2" max="2" width="13.42578125" customWidth="1"/>
    <col min="3" max="3" width="19.5703125" customWidth="1"/>
    <col min="4" max="4" width="17.140625" customWidth="1"/>
    <col min="5" max="5" width="24.7109375" customWidth="1"/>
    <col min="6" max="6" width="32.42578125" customWidth="1"/>
    <col min="7" max="7" width="18.42578125" customWidth="1"/>
  </cols>
  <sheetData>
    <row r="1" spans="1:7" x14ac:dyDescent="0.25">
      <c r="A1" s="6" t="s">
        <v>5</v>
      </c>
      <c r="B1" s="24" t="s">
        <v>3</v>
      </c>
      <c r="C1" s="24"/>
      <c r="D1" s="8" t="s">
        <v>4</v>
      </c>
      <c r="E1" s="8" t="s">
        <v>6</v>
      </c>
      <c r="F1" s="8" t="s">
        <v>47</v>
      </c>
      <c r="G1" s="7" t="s">
        <v>48</v>
      </c>
    </row>
    <row r="2" spans="1:7" x14ac:dyDescent="0.25">
      <c r="A2" s="14" t="s">
        <v>7</v>
      </c>
      <c r="B2" s="5" t="s">
        <v>21</v>
      </c>
      <c r="C2" s="5" t="s">
        <v>36</v>
      </c>
      <c r="D2" s="5" t="s">
        <v>24</v>
      </c>
      <c r="E2" s="15">
        <v>2</v>
      </c>
      <c r="F2" s="16">
        <v>53998</v>
      </c>
      <c r="G2" s="10">
        <f>(E2*F2)</f>
        <v>107996</v>
      </c>
    </row>
    <row r="3" spans="1:7" x14ac:dyDescent="0.25">
      <c r="A3" s="14" t="s">
        <v>8</v>
      </c>
      <c r="B3" s="15" t="s">
        <v>1</v>
      </c>
      <c r="C3" s="5" t="s">
        <v>35</v>
      </c>
      <c r="D3" s="5" t="s">
        <v>22</v>
      </c>
      <c r="E3" s="15">
        <v>3</v>
      </c>
      <c r="F3" s="16">
        <v>31998</v>
      </c>
      <c r="G3" s="10">
        <f>(E3*F3)</f>
        <v>95994</v>
      </c>
    </row>
    <row r="4" spans="1:7" x14ac:dyDescent="0.25">
      <c r="A4" s="14" t="s">
        <v>9</v>
      </c>
      <c r="B4" s="5" t="s">
        <v>18</v>
      </c>
      <c r="C4" s="5" t="s">
        <v>37</v>
      </c>
      <c r="D4" s="5" t="s">
        <v>24</v>
      </c>
      <c r="E4" s="15">
        <v>2</v>
      </c>
      <c r="F4" s="16">
        <v>47998</v>
      </c>
      <c r="G4" s="10">
        <f>(E4*F4)</f>
        <v>95996</v>
      </c>
    </row>
    <row r="5" spans="1:7" x14ac:dyDescent="0.25">
      <c r="A5" s="14" t="s">
        <v>10</v>
      </c>
      <c r="B5" s="5" t="s">
        <v>20</v>
      </c>
      <c r="C5" s="5" t="s">
        <v>38</v>
      </c>
      <c r="D5" s="5" t="s">
        <v>23</v>
      </c>
      <c r="E5" s="15">
        <v>1</v>
      </c>
      <c r="F5" s="16">
        <v>34998</v>
      </c>
      <c r="G5" s="10">
        <f>(E5*F5)</f>
        <v>34998</v>
      </c>
    </row>
    <row r="6" spans="1:7" x14ac:dyDescent="0.25">
      <c r="A6" s="14" t="s">
        <v>11</v>
      </c>
      <c r="B6" s="5" t="s">
        <v>21</v>
      </c>
      <c r="C6" s="5" t="s">
        <v>36</v>
      </c>
      <c r="D6" s="5" t="s">
        <v>22</v>
      </c>
      <c r="E6" s="15">
        <v>4</v>
      </c>
      <c r="F6" s="16">
        <v>37998</v>
      </c>
      <c r="G6" s="10">
        <f>(E6*F6)</f>
        <v>151992</v>
      </c>
    </row>
    <row r="7" spans="1:7" x14ac:dyDescent="0.25">
      <c r="A7" s="14" t="s">
        <v>49</v>
      </c>
      <c r="B7" s="15" t="s">
        <v>1</v>
      </c>
      <c r="C7" s="5" t="s">
        <v>35</v>
      </c>
      <c r="D7" s="5" t="s">
        <v>23</v>
      </c>
      <c r="E7" s="15">
        <v>2</v>
      </c>
      <c r="F7" s="16">
        <v>22998</v>
      </c>
      <c r="G7" s="10">
        <f>(E7*F7)</f>
        <v>45996</v>
      </c>
    </row>
    <row r="8" spans="1:7" x14ac:dyDescent="0.25">
      <c r="A8" s="14" t="s">
        <v>12</v>
      </c>
      <c r="B8" s="5" t="s">
        <v>20</v>
      </c>
      <c r="C8" s="5" t="s">
        <v>38</v>
      </c>
      <c r="D8" s="5" t="s">
        <v>24</v>
      </c>
      <c r="E8" s="15">
        <v>2</v>
      </c>
      <c r="F8" s="16">
        <v>59998</v>
      </c>
      <c r="G8" s="10">
        <f>(E8*F8)</f>
        <v>119996</v>
      </c>
    </row>
    <row r="9" spans="1:7" x14ac:dyDescent="0.25">
      <c r="A9" s="14" t="s">
        <v>13</v>
      </c>
      <c r="B9" s="5" t="s">
        <v>18</v>
      </c>
      <c r="C9" s="5" t="s">
        <v>39</v>
      </c>
      <c r="D9" s="5" t="s">
        <v>22</v>
      </c>
      <c r="E9" s="15">
        <v>3</v>
      </c>
      <c r="F9" s="16">
        <v>31998</v>
      </c>
      <c r="G9" s="10">
        <f>(E9*F9)</f>
        <v>95994</v>
      </c>
    </row>
    <row r="10" spans="1:7" x14ac:dyDescent="0.25">
      <c r="A10" s="14" t="s">
        <v>14</v>
      </c>
      <c r="B10" s="5" t="s">
        <v>21</v>
      </c>
      <c r="C10" s="5" t="s">
        <v>36</v>
      </c>
      <c r="D10" s="5" t="s">
        <v>23</v>
      </c>
      <c r="E10" s="15">
        <v>1</v>
      </c>
      <c r="F10" s="16">
        <v>28998</v>
      </c>
      <c r="G10" s="10">
        <f>(E10*F10)</f>
        <v>28998</v>
      </c>
    </row>
    <row r="11" spans="1:7" x14ac:dyDescent="0.25">
      <c r="A11" s="14" t="s">
        <v>15</v>
      </c>
      <c r="B11" s="5" t="s">
        <v>19</v>
      </c>
      <c r="C11" s="5" t="s">
        <v>46</v>
      </c>
      <c r="D11" s="5" t="s">
        <v>24</v>
      </c>
      <c r="E11" s="15">
        <v>2</v>
      </c>
      <c r="F11" s="16">
        <v>32998</v>
      </c>
      <c r="G11" s="10">
        <f>(E11*F11)</f>
        <v>65996</v>
      </c>
    </row>
    <row r="12" spans="1:7" x14ac:dyDescent="0.25">
      <c r="A12" s="14" t="s">
        <v>25</v>
      </c>
      <c r="B12" s="5" t="s">
        <v>16</v>
      </c>
      <c r="C12" s="5" t="s">
        <v>41</v>
      </c>
      <c r="D12" s="5" t="s">
        <v>23</v>
      </c>
      <c r="E12" s="15">
        <v>5</v>
      </c>
      <c r="F12" s="16">
        <v>42998</v>
      </c>
      <c r="G12" s="10">
        <f>(E12*F12)</f>
        <v>214990</v>
      </c>
    </row>
    <row r="13" spans="1:7" x14ac:dyDescent="0.25">
      <c r="A13" s="14" t="s">
        <v>26</v>
      </c>
      <c r="B13" s="5" t="s">
        <v>19</v>
      </c>
      <c r="C13" s="5" t="s">
        <v>46</v>
      </c>
      <c r="D13" s="5" t="s">
        <v>23</v>
      </c>
      <c r="E13" s="15">
        <v>4</v>
      </c>
      <c r="F13" s="16">
        <v>37998</v>
      </c>
      <c r="G13" s="10">
        <f>(E13*F13)</f>
        <v>151992</v>
      </c>
    </row>
    <row r="14" spans="1:7" x14ac:dyDescent="0.25">
      <c r="A14" s="14" t="s">
        <v>27</v>
      </c>
      <c r="B14" s="5" t="s">
        <v>17</v>
      </c>
      <c r="C14" s="5" t="s">
        <v>42</v>
      </c>
      <c r="D14" s="5" t="s">
        <v>24</v>
      </c>
      <c r="E14" s="15">
        <v>5</v>
      </c>
      <c r="F14" s="16">
        <v>56998</v>
      </c>
      <c r="G14" s="10">
        <f>(E14*F14)</f>
        <v>284990</v>
      </c>
    </row>
    <row r="15" spans="1:7" x14ac:dyDescent="0.25">
      <c r="A15" s="14" t="s">
        <v>28</v>
      </c>
      <c r="B15" s="5" t="s">
        <v>16</v>
      </c>
      <c r="C15" s="5" t="s">
        <v>41</v>
      </c>
      <c r="D15" s="5" t="s">
        <v>22</v>
      </c>
      <c r="E15" s="15">
        <v>5</v>
      </c>
      <c r="F15" s="16">
        <v>51998</v>
      </c>
      <c r="G15" s="10">
        <f>(E15*F15)</f>
        <v>259990</v>
      </c>
    </row>
    <row r="16" spans="1:7" x14ac:dyDescent="0.25">
      <c r="A16" s="17" t="s">
        <v>29</v>
      </c>
      <c r="B16" s="12" t="s">
        <v>17</v>
      </c>
      <c r="C16" s="12" t="s">
        <v>42</v>
      </c>
      <c r="D16" s="12" t="s">
        <v>22</v>
      </c>
      <c r="E16" s="18">
        <v>2</v>
      </c>
      <c r="F16" s="19">
        <v>40998</v>
      </c>
      <c r="G16" s="13">
        <f>(E16*F16)</f>
        <v>81996</v>
      </c>
    </row>
    <row r="17" spans="5:7" x14ac:dyDescent="0.25">
      <c r="E17" t="str">
        <f>IFERROR(INDEX(Package_Costs!$D$2:$D$13,MATCH(1,(Package_Costs!$A$2:$A$13=B17)*(Package_Costs!$C$2:$C$13=C17),0)),"")</f>
        <v/>
      </c>
      <c r="F17" s="3"/>
    </row>
    <row r="18" spans="5:7" x14ac:dyDescent="0.25">
      <c r="F18" t="str">
        <f>IFERROR(INDEX(Package_Costs!$D$2:$D$13,MATCH(1,(Package_Costs!$A$2:$A$13=B18)*(Package_Costs!$C$2:$C$13=C18),0)),"")</f>
        <v/>
      </c>
      <c r="G18" t="str">
        <f>IFERROR(#REF!*E18*F18,"")</f>
        <v/>
      </c>
    </row>
    <row r="19" spans="5:7" x14ac:dyDescent="0.25">
      <c r="F19" t="str">
        <f>IFERROR(INDEX(Package_Costs!$D$2:$D$13,MATCH(1,(Package_Costs!$A$2:$A$13=B19)*(Package_Costs!$C$2:$C$13=C19),0)),"")</f>
        <v/>
      </c>
      <c r="G19" t="str">
        <f>IFERROR(D19*E19*F19,"")</f>
        <v/>
      </c>
    </row>
    <row r="20" spans="5:7" x14ac:dyDescent="0.25">
      <c r="F20" t="str">
        <f>IFERROR(INDEX(Package_Costs!$D$2:$D$13,MATCH(1,(Package_Costs!$A$2:$A$13=B20)*(Package_Costs!$C$2:$C$13=C20),0)),"")</f>
        <v/>
      </c>
      <c r="G20" t="str">
        <f t="shared" ref="G20:G33" si="0">IFERROR(D20*E20*F20,"")</f>
        <v/>
      </c>
    </row>
    <row r="21" spans="5:7" x14ac:dyDescent="0.25">
      <c r="F21" t="str">
        <f>IFERROR(INDEX(Package_Costs!$D$2:$D$13,MATCH(1,(Package_Costs!$A$2:$A$13=B21)*(Package_Costs!$C$2:$C$13=C21),0)),"")</f>
        <v/>
      </c>
      <c r="G21" t="str">
        <f t="shared" si="0"/>
        <v/>
      </c>
    </row>
    <row r="22" spans="5:7" x14ac:dyDescent="0.25">
      <c r="F22" t="str">
        <f>IFERROR(INDEX(Package_Costs!$D$2:$D$13,MATCH(1,(Package_Costs!$A$2:$A$13=B22)*(Package_Costs!$C$2:$C$13=C22),0)),"")</f>
        <v/>
      </c>
      <c r="G22" t="str">
        <f t="shared" si="0"/>
        <v/>
      </c>
    </row>
    <row r="23" spans="5:7" x14ac:dyDescent="0.25">
      <c r="F23" t="str">
        <f>IFERROR(INDEX(Package_Costs!$D$2:$D$13,MATCH(1,(Package_Costs!$A$2:$A$13=B23)*(Package_Costs!$C$2:$C$13=C23),0)),"")</f>
        <v/>
      </c>
      <c r="G23" t="str">
        <f t="shared" si="0"/>
        <v/>
      </c>
    </row>
    <row r="24" spans="5:7" x14ac:dyDescent="0.25">
      <c r="F24" t="str">
        <f>IFERROR(INDEX(Package_Costs!$D$2:$D$13,MATCH(1,(Package_Costs!$A$2:$A$13=B24)*(Package_Costs!$C$2:$C$13=C24),0)),"")</f>
        <v/>
      </c>
      <c r="G24" t="str">
        <f t="shared" si="0"/>
        <v/>
      </c>
    </row>
    <row r="25" spans="5:7" x14ac:dyDescent="0.25">
      <c r="F25" t="str">
        <f>IFERROR(INDEX(Package_Costs!$D$2:$D$13,MATCH(1,(Package_Costs!$A$2:$A$13=B25)*(Package_Costs!$C$2:$C$13=C25),0)),"")</f>
        <v/>
      </c>
      <c r="G25" t="str">
        <f t="shared" si="0"/>
        <v/>
      </c>
    </row>
    <row r="26" spans="5:7" x14ac:dyDescent="0.25">
      <c r="F26" t="str">
        <f>IFERROR(INDEX(Package_Costs!$D$2:$D$13,MATCH(1,(Package_Costs!$A$2:$A$13=B26)*(Package_Costs!$C$2:$C$13=C26),0)),"")</f>
        <v/>
      </c>
      <c r="G26" t="str">
        <f t="shared" si="0"/>
        <v/>
      </c>
    </row>
    <row r="27" spans="5:7" x14ac:dyDescent="0.25">
      <c r="F27" t="str">
        <f>IFERROR(INDEX(Package_Costs!$D$2:$D$13,MATCH(1,(Package_Costs!$A$2:$A$13=B27)*(Package_Costs!$C$2:$C$13=C27),0)),"")</f>
        <v/>
      </c>
      <c r="G27" t="str">
        <f t="shared" si="0"/>
        <v/>
      </c>
    </row>
    <row r="28" spans="5:7" x14ac:dyDescent="0.25">
      <c r="F28" t="str">
        <f>IFERROR(INDEX(Package_Costs!$D$2:$D$13,MATCH(1,(Package_Costs!$A$2:$A$13=B28)*(Package_Costs!$C$2:$C$13=C28),0)),"")</f>
        <v/>
      </c>
      <c r="G28" t="str">
        <f t="shared" si="0"/>
        <v/>
      </c>
    </row>
    <row r="29" spans="5:7" x14ac:dyDescent="0.25">
      <c r="F29" t="str">
        <f>IFERROR(INDEX(Package_Costs!$D$2:$D$13,MATCH(1,(Package_Costs!$A$2:$A$13=B29)*(Package_Costs!$C$2:$C$13=C29),0)),"")</f>
        <v/>
      </c>
      <c r="G29" t="str">
        <f t="shared" si="0"/>
        <v/>
      </c>
    </row>
    <row r="30" spans="5:7" x14ac:dyDescent="0.25">
      <c r="F30" t="str">
        <f>IFERROR(INDEX(Package_Costs!$D$2:$D$13,MATCH(1,(Package_Costs!$A$2:$A$13=B30)*(Package_Costs!$C$2:$C$13=C30),0)),"")</f>
        <v/>
      </c>
      <c r="G30" t="str">
        <f t="shared" si="0"/>
        <v/>
      </c>
    </row>
    <row r="31" spans="5:7" x14ac:dyDescent="0.25">
      <c r="F31" t="str">
        <f>IFERROR(INDEX(Package_Costs!$D$2:$D$13,MATCH(1,(Package_Costs!$A$2:$A$13=B31)*(Package_Costs!$C$2:$C$13=C31),0)),"")</f>
        <v/>
      </c>
      <c r="G31" t="str">
        <f t="shared" si="0"/>
        <v/>
      </c>
    </row>
    <row r="32" spans="5:7" x14ac:dyDescent="0.25">
      <c r="F32" t="str">
        <f>IFERROR(INDEX(Package_Costs!$D$2:$D$13,MATCH(1,(Package_Costs!$A$2:$A$13=B32)*(Package_Costs!$C$2:$C$13=C32),0)),"")</f>
        <v/>
      </c>
      <c r="G32" t="str">
        <f t="shared" si="0"/>
        <v/>
      </c>
    </row>
    <row r="33" spans="6:7" x14ac:dyDescent="0.25">
      <c r="F33" t="str">
        <f>IFERROR(INDEX(Package_Costs!$D$2:$D$13,MATCH(1,(Package_Costs!$A$2:$A$13=B33)*(Package_Costs!$C$2:$C$13=C33),0)),"")</f>
        <v/>
      </c>
      <c r="G33" t="str">
        <f t="shared" si="0"/>
        <v/>
      </c>
    </row>
    <row r="34" spans="6:7" x14ac:dyDescent="0.25">
      <c r="F34" t="str">
        <f>IFERROR(INDEX(Package_Costs!$D$2:$D$13,MATCH(1,(Package_Costs!$A$2:$A$13=B34)*(Package_Costs!$C$2:$C$13=C34),0)),"")</f>
        <v/>
      </c>
      <c r="G34" t="str">
        <f t="shared" ref="G34:G50" si="1">IFERROR(D34*E34*F34,"")</f>
        <v/>
      </c>
    </row>
    <row r="35" spans="6:7" x14ac:dyDescent="0.25">
      <c r="F35" t="str">
        <f>IFERROR(INDEX(Package_Costs!$D$2:$D$13,MATCH(1,(Package_Costs!$A$2:$A$13=B35)*(Package_Costs!$C$2:$C$13=C35),0)),"")</f>
        <v/>
      </c>
      <c r="G35" t="str">
        <f t="shared" si="1"/>
        <v/>
      </c>
    </row>
    <row r="36" spans="6:7" x14ac:dyDescent="0.25">
      <c r="F36" t="str">
        <f>IFERROR(INDEX(Package_Costs!$D$2:$D$13,MATCH(1,(Package_Costs!$A$2:$A$13=B36)*(Package_Costs!$C$2:$C$13=C36),0)),"")</f>
        <v/>
      </c>
      <c r="G36" t="str">
        <f t="shared" si="1"/>
        <v/>
      </c>
    </row>
    <row r="37" spans="6:7" x14ac:dyDescent="0.25">
      <c r="F37" t="str">
        <f>IFERROR(INDEX(Package_Costs!$D$2:$D$13,MATCH(1,(Package_Costs!$A$2:$A$13=B37)*(Package_Costs!$C$2:$C$13=C37),0)),"")</f>
        <v/>
      </c>
      <c r="G37" t="str">
        <f t="shared" si="1"/>
        <v/>
      </c>
    </row>
    <row r="38" spans="6:7" x14ac:dyDescent="0.25">
      <c r="F38" t="str">
        <f>IFERROR(INDEX(Package_Costs!$D$2:$D$13,MATCH(1,(Package_Costs!$A$2:$A$13=B38)*(Package_Costs!$C$2:$C$13=C38),0)),"")</f>
        <v/>
      </c>
      <c r="G38" t="str">
        <f t="shared" si="1"/>
        <v/>
      </c>
    </row>
    <row r="39" spans="6:7" x14ac:dyDescent="0.25">
      <c r="F39" t="str">
        <f>IFERROR(INDEX(Package_Costs!$D$2:$D$13,MATCH(1,(Package_Costs!$A$2:$A$13=B39)*(Package_Costs!$C$2:$C$13=C39),0)),"")</f>
        <v/>
      </c>
      <c r="G39" t="str">
        <f t="shared" si="1"/>
        <v/>
      </c>
    </row>
    <row r="40" spans="6:7" x14ac:dyDescent="0.25">
      <c r="F40" t="str">
        <f>IFERROR(INDEX(Package_Costs!$D$2:$D$13,MATCH(1,(Package_Costs!$A$2:$A$13=B40)*(Package_Costs!$C$2:$C$13=C40),0)),"")</f>
        <v/>
      </c>
      <c r="G40" t="str">
        <f t="shared" si="1"/>
        <v/>
      </c>
    </row>
    <row r="41" spans="6:7" x14ac:dyDescent="0.25">
      <c r="F41" t="str">
        <f>IFERROR(INDEX(Package_Costs!$D$2:$D$13,MATCH(1,(Package_Costs!$A$2:$A$13=B41)*(Package_Costs!$C$2:$C$13=C41),0)),"")</f>
        <v/>
      </c>
      <c r="G41" t="str">
        <f t="shared" si="1"/>
        <v/>
      </c>
    </row>
    <row r="42" spans="6:7" x14ac:dyDescent="0.25">
      <c r="F42" t="str">
        <f>IFERROR(INDEX(Package_Costs!$D$2:$D$13,MATCH(1,(Package_Costs!$A$2:$A$13=B42)*(Package_Costs!$C$2:$C$13=C42),0)),"")</f>
        <v/>
      </c>
      <c r="G42" t="str">
        <f t="shared" si="1"/>
        <v/>
      </c>
    </row>
    <row r="43" spans="6:7" x14ac:dyDescent="0.25">
      <c r="F43" t="str">
        <f>IFERROR(INDEX(Package_Costs!$D$2:$D$13,MATCH(1,(Package_Costs!$A$2:$A$13=B43)*(Package_Costs!$C$2:$C$13=C43),0)),"")</f>
        <v/>
      </c>
      <c r="G43" t="str">
        <f t="shared" si="1"/>
        <v/>
      </c>
    </row>
    <row r="44" spans="6:7" x14ac:dyDescent="0.25">
      <c r="F44" t="str">
        <f>IFERROR(INDEX(Package_Costs!$D$2:$D$13,MATCH(1,(Package_Costs!$A$2:$A$13=B44)*(Package_Costs!$C$2:$C$13=C44),0)),"")</f>
        <v/>
      </c>
      <c r="G44" t="str">
        <f t="shared" si="1"/>
        <v/>
      </c>
    </row>
    <row r="45" spans="6:7" x14ac:dyDescent="0.25">
      <c r="F45" t="str">
        <f>IFERROR(INDEX(Package_Costs!$D$2:$D$13,MATCH(1,(Package_Costs!$A$2:$A$13=B45)*(Package_Costs!$C$2:$C$13=C45),0)),"")</f>
        <v/>
      </c>
      <c r="G45" t="str">
        <f t="shared" si="1"/>
        <v/>
      </c>
    </row>
    <row r="46" spans="6:7" x14ac:dyDescent="0.25">
      <c r="F46" t="str">
        <f>IFERROR(INDEX(Package_Costs!$D$2:$D$13,MATCH(1,(Package_Costs!$A$2:$A$13=B46)*(Package_Costs!$C$2:$C$13=C46),0)),"")</f>
        <v/>
      </c>
      <c r="G46" t="str">
        <f t="shared" si="1"/>
        <v/>
      </c>
    </row>
    <row r="47" spans="6:7" x14ac:dyDescent="0.25">
      <c r="F47" t="str">
        <f>IFERROR(INDEX(Package_Costs!$D$2:$D$13,MATCH(1,(Package_Costs!$A$2:$A$13=B47)*(Package_Costs!$C$2:$C$13=C47),0)),"")</f>
        <v/>
      </c>
      <c r="G47" t="str">
        <f t="shared" si="1"/>
        <v/>
      </c>
    </row>
    <row r="48" spans="6:7" x14ac:dyDescent="0.25">
      <c r="F48" t="str">
        <f>IFERROR(INDEX(Package_Costs!$D$2:$D$13,MATCH(1,(Package_Costs!$A$2:$A$13=B48)*(Package_Costs!$C$2:$C$13=C48),0)),"")</f>
        <v/>
      </c>
      <c r="G48" t="str">
        <f t="shared" si="1"/>
        <v/>
      </c>
    </row>
    <row r="49" spans="6:7" x14ac:dyDescent="0.25">
      <c r="F49" t="str">
        <f>IFERROR(INDEX(Package_Costs!$D$2:$D$13,MATCH(1,(Package_Costs!$A$2:$A$13=B49)*(Package_Costs!$C$2:$C$13=C49),0)),"")</f>
        <v/>
      </c>
      <c r="G49" t="str">
        <f t="shared" si="1"/>
        <v/>
      </c>
    </row>
    <row r="50" spans="6:7" x14ac:dyDescent="0.25">
      <c r="F50" t="str">
        <f>IFERROR(INDEX(Package_Costs!$D$2:$D$13,MATCH(1,(Package_Costs!$A$2:$A$13=B50)*(Package_Costs!$C$2:$C$13=C50),0)),"")</f>
        <v/>
      </c>
      <c r="G50" t="str">
        <f t="shared" si="1"/>
        <v/>
      </c>
    </row>
  </sheetData>
  <mergeCells count="1">
    <mergeCell ref="B1:C1"/>
  </mergeCell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>
          <x14:formula1>
            <xm:f>Lists!$C$2:$C$4</xm:f>
          </x14:formula1>
          <xm:sqref>C17:C50</xm:sqref>
        </x14:dataValidation>
        <x14:dataValidation type="list">
          <x14:formula1>
            <xm:f>Lists!$A$2:$A$5</xm:f>
          </x14:formula1>
          <xm:sqref>B17:B50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Lists</vt:lpstr>
      <vt:lpstr>Package_Costs</vt:lpstr>
      <vt:lpstr>Trip_Planner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2026-01-01T17:04:11Z</dcterms:created>
  <dcterms:modified xsi:type="dcterms:W3CDTF">2026-01-03T16:11:25Z</dcterms:modified>
</cp:coreProperties>
</file>